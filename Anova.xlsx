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nuri\Desktop\SCADA+DATA\LAB\EDA+ML+VISUALIZATION LEARNING\"/>
    </mc:Choice>
  </mc:AlternateContent>
  <xr:revisionPtr revIDLastSave="0" documentId="13_ncr:1_{CFDB3890-5243-425A-8249-0BEB9D6B7A4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" l="1"/>
  <c r="N2" i="1"/>
  <c r="M3" i="1"/>
  <c r="M2" i="1"/>
  <c r="L3" i="1"/>
  <c r="L2" i="1"/>
  <c r="K6" i="1"/>
  <c r="K4" i="1"/>
  <c r="K3" i="1"/>
  <c r="K2" i="1"/>
  <c r="G21" i="1"/>
  <c r="G12" i="1"/>
  <c r="G13" i="1"/>
  <c r="G14" i="1"/>
  <c r="G15" i="1"/>
  <c r="G16" i="1"/>
  <c r="G17" i="1"/>
  <c r="G18" i="1"/>
  <c r="G19" i="1"/>
  <c r="G11" i="1"/>
  <c r="G22" i="1"/>
  <c r="G3" i="1"/>
  <c r="G4" i="1"/>
  <c r="G5" i="1"/>
  <c r="G6" i="1"/>
  <c r="G7" i="1"/>
  <c r="G8" i="1"/>
  <c r="G9" i="1"/>
  <c r="G10" i="1"/>
  <c r="G2" i="1"/>
  <c r="F21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" i="1"/>
  <c r="E23" i="1"/>
  <c r="E22" i="1"/>
  <c r="E2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" i="1"/>
</calcChain>
</file>

<file path=xl/sharedStrings.xml><?xml version="1.0" encoding="utf-8"?>
<sst xmlns="http://schemas.openxmlformats.org/spreadsheetml/2006/main" count="42" uniqueCount="24">
  <si>
    <t>A</t>
  </si>
  <si>
    <t>B</t>
  </si>
  <si>
    <t>Before</t>
  </si>
  <si>
    <t>After4weeks</t>
  </si>
  <si>
    <t>After8weeks</t>
  </si>
  <si>
    <t>Margarine</t>
  </si>
  <si>
    <t>Differ8week</t>
  </si>
  <si>
    <t>Mean</t>
  </si>
  <si>
    <t>MEAN A</t>
  </si>
  <si>
    <t>MEAN B</t>
  </si>
  <si>
    <t>SS</t>
  </si>
  <si>
    <t>ESS</t>
  </si>
  <si>
    <t>TrSS</t>
  </si>
  <si>
    <t>TSS</t>
  </si>
  <si>
    <t>TSS=TrSS+ESS</t>
  </si>
  <si>
    <t xml:space="preserve"> </t>
  </si>
  <si>
    <t>Df</t>
  </si>
  <si>
    <t>MeansSquare</t>
  </si>
  <si>
    <t>fstat</t>
  </si>
  <si>
    <t>pvalue</t>
  </si>
  <si>
    <t>&gt;&gt; Less than 0.05</t>
  </si>
  <si>
    <t>&gt;&gt; Reject Null hypothesis</t>
  </si>
  <si>
    <t>If p &lt; 0.05 ==&gt; Reject H0 (Statistically significant)</t>
  </si>
  <si>
    <r>
      <t xml:space="preserve">If </t>
    </r>
    <r>
      <rPr>
        <b/>
        <sz val="11"/>
        <color theme="1"/>
        <rFont val="Arial"/>
        <family val="2"/>
      </rPr>
      <t>p &gt; or = 0.05 --&gt;</t>
    </r>
    <r>
      <rPr>
        <b/>
        <sz val="11"/>
        <color theme="1"/>
        <rFont val="Calibri"/>
        <family val="2"/>
        <scheme val="minor"/>
      </rPr>
      <t xml:space="preserve"> Fail to reject </t>
    </r>
    <r>
      <rPr>
        <b/>
        <sz val="11"/>
        <color theme="1"/>
        <rFont val="Arial"/>
        <family val="2"/>
      </rPr>
      <t>H0</t>
    </r>
    <r>
      <rPr>
        <b/>
        <sz val="11"/>
        <color theme="1"/>
        <rFont val="Calibri"/>
        <family val="2"/>
        <scheme val="minor"/>
      </rPr>
      <t xml:space="preserve"> (Not statistically significant)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</si>
</sst>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0" fillId="0" borderId="1" xfId="0" applyBorder="1"/>
    <xf numFmtId="174" fontId="0" fillId="0" borderId="0" xfId="0" applyNumberFormat="1"/>
    <xf numFmtId="2" fontId="0" fillId="0" borderId="0" xfId="0" applyNumberFormat="1"/>
    <xf numFmtId="2" fontId="0" fillId="0" borderId="1" xfId="0" applyNumberFormat="1" applyBorder="1"/>
    <xf numFmtId="0" fontId="1" fillId="2" borderId="1" xfId="0" applyFont="1" applyFill="1" applyBorder="1"/>
    <xf numFmtId="0" fontId="1" fillId="2" borderId="2" xfId="0" applyFont="1" applyFill="1" applyBorder="1"/>
    <xf numFmtId="2" fontId="0" fillId="3" borderId="0" xfId="0" applyNumberFormat="1" applyFill="1"/>
    <xf numFmtId="2" fontId="0" fillId="4" borderId="0" xfId="0" applyNumberFormat="1" applyFill="1"/>
    <xf numFmtId="2" fontId="0" fillId="5" borderId="0" xfId="0" applyNumberFormat="1" applyFill="1"/>
    <xf numFmtId="0" fontId="0" fillId="6" borderId="0" xfId="0" applyFill="1"/>
    <xf numFmtId="2" fontId="0" fillId="6" borderId="0" xfId="0" applyNumberFormat="1" applyFill="1"/>
    <xf numFmtId="2" fontId="0" fillId="4" borderId="1" xfId="0" applyNumberFormat="1" applyFill="1" applyBorder="1"/>
    <xf numFmtId="0" fontId="0" fillId="7" borderId="1" xfId="0" applyFill="1" applyBorder="1"/>
    <xf numFmtId="174" fontId="0" fillId="0" borderId="1" xfId="0" applyNumberFormat="1" applyBorder="1"/>
    <xf numFmtId="2" fontId="0" fillId="5" borderId="1" xfId="0" applyNumberFormat="1" applyFill="1" applyBorder="1"/>
    <xf numFmtId="0" fontId="0" fillId="6" borderId="1" xfId="0" applyFill="1" applyBorder="1"/>
    <xf numFmtId="2" fontId="0" fillId="6" borderId="1" xfId="0" applyNumberForma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3"/>
  <sheetViews>
    <sheetView tabSelected="1" workbookViewId="0">
      <selection activeCell="N2" sqref="N2"/>
    </sheetView>
  </sheetViews>
  <sheetFormatPr defaultRowHeight="15" x14ac:dyDescent="0.25"/>
  <cols>
    <col min="1" max="1" width="7" bestFit="1" customWidth="1"/>
    <col min="2" max="3" width="12.28515625" bestFit="1" customWidth="1"/>
    <col min="4" max="4" width="10" bestFit="1" customWidth="1"/>
    <col min="5" max="5" width="12.28515625" bestFit="1" customWidth="1"/>
    <col min="7" max="7" width="19.85546875" bestFit="1" customWidth="1"/>
    <col min="10" max="10" width="12.7109375" bestFit="1" customWidth="1"/>
    <col min="13" max="13" width="13.140625" bestFit="1" customWidth="1"/>
    <col min="16" max="16" width="69.5703125" bestFit="1" customWidth="1"/>
  </cols>
  <sheetData>
    <row r="1" spans="1:16" x14ac:dyDescent="0.25">
      <c r="A1" s="6" t="s">
        <v>2</v>
      </c>
      <c r="B1" s="6" t="s">
        <v>3</v>
      </c>
      <c r="C1" s="6" t="s">
        <v>4</v>
      </c>
      <c r="D1" s="6" t="s">
        <v>5</v>
      </c>
      <c r="E1" s="6" t="s">
        <v>6</v>
      </c>
      <c r="F1" s="7" t="s">
        <v>10</v>
      </c>
      <c r="G1" s="7" t="s">
        <v>11</v>
      </c>
      <c r="J1" s="2"/>
      <c r="K1" s="6" t="s">
        <v>10</v>
      </c>
      <c r="L1" s="6" t="s">
        <v>16</v>
      </c>
      <c r="M1" s="6" t="s">
        <v>17</v>
      </c>
      <c r="N1" s="6" t="s">
        <v>18</v>
      </c>
      <c r="O1" s="6" t="s">
        <v>19</v>
      </c>
    </row>
    <row r="2" spans="1:16" x14ac:dyDescent="0.25">
      <c r="A2" s="2">
        <v>6.76</v>
      </c>
      <c r="B2" s="2">
        <v>6.2</v>
      </c>
      <c r="C2" s="2">
        <v>6.13</v>
      </c>
      <c r="D2" s="2" t="s">
        <v>0</v>
      </c>
      <c r="E2" s="2">
        <f>C2-A2</f>
        <v>-0.62999999999999989</v>
      </c>
      <c r="F2" s="4">
        <f>(E2-$E$21)^2</f>
        <v>1.2345679012344603E-6</v>
      </c>
      <c r="G2" s="9">
        <f>(E2-$E$22)^2</f>
        <v>6.944444444444451E-3</v>
      </c>
      <c r="J2" s="2" t="s">
        <v>12</v>
      </c>
      <c r="K2" s="13">
        <f>9*(E22-E21)^2+9*(E23-E21)^2</f>
        <v>0.12168888888888914</v>
      </c>
      <c r="L2" s="14">
        <f>2-1</f>
        <v>1</v>
      </c>
      <c r="M2" s="15">
        <f>K2/L2</f>
        <v>0.12168888888888914</v>
      </c>
      <c r="N2" s="2">
        <f>M2/M3</f>
        <v>4.6347862886161701</v>
      </c>
      <c r="O2" s="2">
        <v>4.5999999999999999E-2</v>
      </c>
      <c r="P2" s="1" t="s">
        <v>20</v>
      </c>
    </row>
    <row r="3" spans="1:16" x14ac:dyDescent="0.25">
      <c r="A3" s="2">
        <v>4.8</v>
      </c>
      <c r="B3" s="2">
        <v>4.2699999999999996</v>
      </c>
      <c r="C3" s="2">
        <v>4.1500000000000004</v>
      </c>
      <c r="D3" s="2" t="s">
        <v>0</v>
      </c>
      <c r="E3" s="2">
        <f t="shared" ref="E3:E19" si="0">C3-A3</f>
        <v>-0.64999999999999947</v>
      </c>
      <c r="F3" s="4">
        <f t="shared" ref="F3:F21" si="1">(E3-$E$21)^2</f>
        <v>4.4567901234565899E-4</v>
      </c>
      <c r="G3" s="9">
        <f t="shared" ref="G3:G19" si="2">(E3-$E$22)^2</f>
        <v>1.0677777777777698E-2</v>
      </c>
      <c r="J3" s="2" t="s">
        <v>11</v>
      </c>
      <c r="K3" s="16">
        <f>G21</f>
        <v>0.42008888888888934</v>
      </c>
      <c r="L3" s="14">
        <f>18-L2-1</f>
        <v>16</v>
      </c>
      <c r="M3" s="15">
        <f>K3/L3</f>
        <v>2.6255555555555584E-2</v>
      </c>
      <c r="N3" s="2"/>
      <c r="O3" s="2"/>
      <c r="P3" s="1" t="s">
        <v>21</v>
      </c>
    </row>
    <row r="4" spans="1:16" x14ac:dyDescent="0.25">
      <c r="A4" s="2">
        <v>7.49</v>
      </c>
      <c r="B4" s="2">
        <v>7.12</v>
      </c>
      <c r="C4" s="2">
        <v>7.05</v>
      </c>
      <c r="D4" s="2" t="s">
        <v>0</v>
      </c>
      <c r="E4" s="2">
        <f t="shared" si="0"/>
        <v>-0.44000000000000039</v>
      </c>
      <c r="F4" s="4">
        <f t="shared" si="1"/>
        <v>3.5679012345678843E-2</v>
      </c>
      <c r="G4" s="9">
        <f t="shared" si="2"/>
        <v>1.1377777777777664E-2</v>
      </c>
      <c r="J4" s="17" t="s">
        <v>13</v>
      </c>
      <c r="K4" s="18">
        <f>F21</f>
        <v>0.54177777777777847</v>
      </c>
      <c r="L4" s="2"/>
      <c r="M4" s="15"/>
      <c r="N4" s="2"/>
      <c r="O4" s="2"/>
    </row>
    <row r="5" spans="1:16" x14ac:dyDescent="0.25">
      <c r="A5" s="2">
        <v>5.05</v>
      </c>
      <c r="B5" s="2">
        <v>4.63</v>
      </c>
      <c r="C5" s="2">
        <v>4.67</v>
      </c>
      <c r="D5" s="2" t="s">
        <v>0</v>
      </c>
      <c r="E5" s="2">
        <f t="shared" si="0"/>
        <v>-0.37999999999999989</v>
      </c>
      <c r="F5" s="4">
        <f t="shared" si="1"/>
        <v>6.1945679012345704E-2</v>
      </c>
      <c r="G5" s="9">
        <f t="shared" si="2"/>
        <v>2.7777777777777766E-2</v>
      </c>
      <c r="K5" s="4"/>
      <c r="M5" s="3"/>
    </row>
    <row r="6" spans="1:16" x14ac:dyDescent="0.25">
      <c r="A6" s="2">
        <v>3.91</v>
      </c>
      <c r="B6" s="2">
        <v>3.7</v>
      </c>
      <c r="C6" s="2">
        <v>3.66</v>
      </c>
      <c r="D6" s="2" t="s">
        <v>0</v>
      </c>
      <c r="E6" s="2">
        <f t="shared" si="0"/>
        <v>-0.25</v>
      </c>
      <c r="F6" s="4">
        <f t="shared" si="1"/>
        <v>0.14355679012345673</v>
      </c>
      <c r="G6" s="9">
        <f t="shared" si="2"/>
        <v>8.8011111111111026E-2</v>
      </c>
      <c r="J6" s="11" t="s">
        <v>14</v>
      </c>
      <c r="K6" s="12">
        <f>SUM(K2:K3)</f>
        <v>0.54177777777777847</v>
      </c>
      <c r="M6" s="3"/>
    </row>
    <row r="7" spans="1:16" x14ac:dyDescent="0.25">
      <c r="A7" s="2">
        <v>6.17</v>
      </c>
      <c r="B7" s="2">
        <v>5.56</v>
      </c>
      <c r="C7" s="2">
        <v>5.51</v>
      </c>
      <c r="D7" s="2" t="s">
        <v>0</v>
      </c>
      <c r="E7" s="2">
        <f t="shared" si="0"/>
        <v>-0.66000000000000014</v>
      </c>
      <c r="F7" s="4">
        <f t="shared" si="1"/>
        <v>9.6790123456791366E-4</v>
      </c>
      <c r="G7" s="9">
        <f t="shared" si="2"/>
        <v>1.2844444444444509E-2</v>
      </c>
    </row>
    <row r="8" spans="1:16" x14ac:dyDescent="0.25">
      <c r="A8" s="2">
        <v>7.67</v>
      </c>
      <c r="B8" s="2">
        <v>7.11</v>
      </c>
      <c r="C8" s="2">
        <v>6.96</v>
      </c>
      <c r="D8" s="2" t="s">
        <v>0</v>
      </c>
      <c r="E8" s="2">
        <f t="shared" si="0"/>
        <v>-0.71</v>
      </c>
      <c r="F8" s="4">
        <f t="shared" si="1"/>
        <v>6.5790123456790162E-3</v>
      </c>
      <c r="G8" s="9">
        <f t="shared" si="2"/>
        <v>2.6677777777777814E-2</v>
      </c>
    </row>
    <row r="9" spans="1:16" x14ac:dyDescent="0.25">
      <c r="A9" s="2">
        <v>7.34</v>
      </c>
      <c r="B9" s="2">
        <v>6.84</v>
      </c>
      <c r="C9" s="2">
        <v>6.82</v>
      </c>
      <c r="D9" s="2" t="s">
        <v>0</v>
      </c>
      <c r="E9" s="2">
        <f t="shared" si="0"/>
        <v>-0.51999999999999957</v>
      </c>
      <c r="F9" s="4">
        <f t="shared" si="1"/>
        <v>1.185679012345687E-2</v>
      </c>
      <c r="G9" s="9">
        <f t="shared" si="2"/>
        <v>7.1111111111112622E-4</v>
      </c>
    </row>
    <row r="10" spans="1:16" x14ac:dyDescent="0.25">
      <c r="A10" s="2">
        <v>5.13</v>
      </c>
      <c r="B10" s="2">
        <v>4.5199999999999996</v>
      </c>
      <c r="C10" s="2">
        <v>4.45</v>
      </c>
      <c r="D10" s="2" t="s">
        <v>0</v>
      </c>
      <c r="E10" s="2">
        <f t="shared" si="0"/>
        <v>-0.67999999999999972</v>
      </c>
      <c r="F10" s="4">
        <f t="shared" si="1"/>
        <v>2.6123456790123228E-3</v>
      </c>
      <c r="G10" s="9">
        <f t="shared" si="2"/>
        <v>1.777777777777774E-2</v>
      </c>
    </row>
    <row r="11" spans="1:16" x14ac:dyDescent="0.25">
      <c r="A11" s="2">
        <v>6.42</v>
      </c>
      <c r="B11" s="2">
        <v>5.83</v>
      </c>
      <c r="C11" s="2">
        <v>5.75</v>
      </c>
      <c r="D11" s="2" t="s">
        <v>1</v>
      </c>
      <c r="E11" s="2">
        <f t="shared" si="0"/>
        <v>-0.66999999999999993</v>
      </c>
      <c r="F11" s="4">
        <f t="shared" si="1"/>
        <v>1.6901234567901224E-3</v>
      </c>
      <c r="G11" s="8">
        <f>(E11-$E$23)^2</f>
        <v>1.6901234567901315E-3</v>
      </c>
    </row>
    <row r="12" spans="1:16" x14ac:dyDescent="0.25">
      <c r="A12" s="2">
        <v>6.56</v>
      </c>
      <c r="B12" s="2">
        <v>5.83</v>
      </c>
      <c r="C12" s="2">
        <v>5.71</v>
      </c>
      <c r="D12" s="2" t="s">
        <v>1</v>
      </c>
      <c r="E12" s="2">
        <f t="shared" si="0"/>
        <v>-0.84999999999999964</v>
      </c>
      <c r="F12" s="4">
        <f t="shared" si="1"/>
        <v>4.8890123456789995E-2</v>
      </c>
      <c r="G12" s="8">
        <f t="shared" ref="G12:G19" si="3">(E12-$E$23)^2</f>
        <v>1.9290123456790018E-2</v>
      </c>
      <c r="P12" s="1" t="s">
        <v>22</v>
      </c>
    </row>
    <row r="13" spans="1:16" x14ac:dyDescent="0.25">
      <c r="A13" s="2">
        <v>8.43</v>
      </c>
      <c r="B13" s="2">
        <v>7.71</v>
      </c>
      <c r="C13" s="2">
        <v>7.67</v>
      </c>
      <c r="D13" s="2" t="s">
        <v>1</v>
      </c>
      <c r="E13" s="2">
        <f t="shared" si="0"/>
        <v>-0.75999999999999979</v>
      </c>
      <c r="F13" s="4">
        <f t="shared" si="1"/>
        <v>1.7190123456790083E-2</v>
      </c>
      <c r="G13" s="8">
        <f t="shared" si="3"/>
        <v>2.3901234567901002E-3</v>
      </c>
      <c r="P13" s="1"/>
    </row>
    <row r="14" spans="1:16" x14ac:dyDescent="0.25">
      <c r="A14" s="2">
        <v>8.0500000000000007</v>
      </c>
      <c r="B14" s="2">
        <v>7.25</v>
      </c>
      <c r="C14" s="2">
        <v>7.1</v>
      </c>
      <c r="D14" s="2" t="s">
        <v>1</v>
      </c>
      <c r="E14" s="2">
        <f t="shared" si="0"/>
        <v>-0.95000000000000107</v>
      </c>
      <c r="F14" s="4">
        <f t="shared" si="1"/>
        <v>0.10311234567901306</v>
      </c>
      <c r="G14" s="8">
        <f t="shared" si="3"/>
        <v>5.7067901234568397E-2</v>
      </c>
      <c r="P14" s="1" t="s">
        <v>23</v>
      </c>
    </row>
    <row r="15" spans="1:16" x14ac:dyDescent="0.25">
      <c r="A15" s="2">
        <v>5.77</v>
      </c>
      <c r="B15" s="2">
        <v>5.31</v>
      </c>
      <c r="C15" s="2">
        <v>5.33</v>
      </c>
      <c r="D15" s="2" t="s">
        <v>1</v>
      </c>
      <c r="E15" s="2">
        <f t="shared" si="0"/>
        <v>-0.4399999999999995</v>
      </c>
      <c r="F15" s="4">
        <f t="shared" si="1"/>
        <v>3.5679012345679176E-2</v>
      </c>
      <c r="G15" s="8">
        <f t="shared" si="3"/>
        <v>7.3501234567901516E-2</v>
      </c>
      <c r="J15" t="s">
        <v>15</v>
      </c>
    </row>
    <row r="16" spans="1:16" x14ac:dyDescent="0.25">
      <c r="A16" s="2">
        <v>6.77</v>
      </c>
      <c r="B16" s="2">
        <v>6.15</v>
      </c>
      <c r="C16" s="2">
        <v>5.96</v>
      </c>
      <c r="D16" s="2" t="s">
        <v>1</v>
      </c>
      <c r="E16" s="2">
        <f t="shared" si="0"/>
        <v>-0.80999999999999961</v>
      </c>
      <c r="F16" s="4">
        <f t="shared" si="1"/>
        <v>3.2801234567901114E-2</v>
      </c>
      <c r="G16" s="8">
        <f t="shared" si="3"/>
        <v>9.77901234567893E-3</v>
      </c>
    </row>
    <row r="17" spans="1:7" x14ac:dyDescent="0.25">
      <c r="A17" s="2">
        <v>6.44</v>
      </c>
      <c r="B17" s="2">
        <v>5.59</v>
      </c>
      <c r="C17" s="2">
        <v>5.64</v>
      </c>
      <c r="D17" s="2" t="s">
        <v>1</v>
      </c>
      <c r="E17" s="2">
        <f t="shared" si="0"/>
        <v>-0.80000000000000071</v>
      </c>
      <c r="F17" s="4">
        <f t="shared" si="1"/>
        <v>2.9279012345679277E-2</v>
      </c>
      <c r="G17" s="8">
        <f t="shared" si="3"/>
        <v>7.9012345679013562E-3</v>
      </c>
    </row>
    <row r="18" spans="1:7" x14ac:dyDescent="0.25">
      <c r="A18" s="2">
        <v>6.85</v>
      </c>
      <c r="B18" s="2">
        <v>6.4</v>
      </c>
      <c r="C18" s="2">
        <v>6.29</v>
      </c>
      <c r="D18" s="2" t="s">
        <v>1</v>
      </c>
      <c r="E18" s="2">
        <f t="shared" si="0"/>
        <v>-0.55999999999999961</v>
      </c>
      <c r="F18" s="4">
        <f t="shared" si="1"/>
        <v>4.7456790123457252E-3</v>
      </c>
      <c r="G18" s="8">
        <f t="shared" si="3"/>
        <v>2.2834567901234695E-2</v>
      </c>
    </row>
    <row r="19" spans="1:7" x14ac:dyDescent="0.25">
      <c r="A19" s="2">
        <v>5.73</v>
      </c>
      <c r="B19" s="2">
        <v>5.13</v>
      </c>
      <c r="C19" s="2">
        <v>5.17</v>
      </c>
      <c r="D19" s="2" t="s">
        <v>1</v>
      </c>
      <c r="E19" s="2">
        <f t="shared" si="0"/>
        <v>-0.5600000000000005</v>
      </c>
      <c r="F19" s="4">
        <f t="shared" si="1"/>
        <v>4.7456790123456029E-3</v>
      </c>
      <c r="G19" s="8">
        <f t="shared" si="3"/>
        <v>2.2834567901234427E-2</v>
      </c>
    </row>
    <row r="20" spans="1:7" x14ac:dyDescent="0.25">
      <c r="F20" s="4"/>
      <c r="G20" s="4"/>
    </row>
    <row r="21" spans="1:7" x14ac:dyDescent="0.25">
      <c r="D21" s="2" t="s">
        <v>7</v>
      </c>
      <c r="E21" s="5">
        <f>AVERAGE(E2:E19)</f>
        <v>-0.62888888888888883</v>
      </c>
      <c r="F21" s="4">
        <f>SUM(F2:F20)</f>
        <v>0.54177777777777847</v>
      </c>
      <c r="G21" s="10">
        <f>SUM(G2:G19)</f>
        <v>0.42008888888888934</v>
      </c>
    </row>
    <row r="22" spans="1:7" x14ac:dyDescent="0.25">
      <c r="D22" s="2" t="s">
        <v>8</v>
      </c>
      <c r="E22" s="5">
        <f>AVERAGE(E2:E10)</f>
        <v>-0.54666666666666652</v>
      </c>
      <c r="G22" s="9">
        <f>SUM(G2:G10)</f>
        <v>0.20279999999999981</v>
      </c>
    </row>
    <row r="23" spans="1:7" x14ac:dyDescent="0.25">
      <c r="D23" s="2" t="s">
        <v>9</v>
      </c>
      <c r="E23" s="5">
        <f>AVERAGE(E11:E19)</f>
        <v>-0.71111111111111114</v>
      </c>
      <c r="G23" s="8">
        <f>SUM(G11:G19)</f>
        <v>0.21728888888888956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nuri</dc:creator>
  <cp:lastModifiedBy>nuri</cp:lastModifiedBy>
  <dcterms:created xsi:type="dcterms:W3CDTF">2015-06-05T18:19:34Z</dcterms:created>
  <dcterms:modified xsi:type="dcterms:W3CDTF">2026-06-19T08:38:19Z</dcterms:modified>
</cp:coreProperties>
</file>